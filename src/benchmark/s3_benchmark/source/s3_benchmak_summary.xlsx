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13"/>
  <workbookPr defaultThemeVersion="166925"/>
  <xr:revisionPtr revIDLastSave="0" documentId="8_{6789E3F0-D9D4-4211-88D7-8B76B6997173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  <sheet name="Tabelle2" sheetId="2" r:id="rId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" i="1" l="1"/>
  <c r="B38" i="1"/>
  <c r="F38" i="1" s="1"/>
  <c r="B39" i="1"/>
  <c r="F39" i="1" s="1"/>
  <c r="B40" i="1"/>
  <c r="F40" i="1" s="1"/>
  <c r="B41" i="1"/>
  <c r="F41" i="1" s="1"/>
  <c r="B42" i="1"/>
  <c r="F42" i="1" s="1"/>
  <c r="B43" i="1"/>
  <c r="F43" i="1" s="1"/>
  <c r="B44" i="1"/>
  <c r="F44" i="1" s="1"/>
  <c r="B45" i="1"/>
  <c r="F45" i="1" s="1"/>
  <c r="B46" i="1"/>
  <c r="F46" i="1" s="1"/>
  <c r="B47" i="1"/>
  <c r="F47" i="1" s="1"/>
  <c r="B48" i="1"/>
  <c r="F48" i="1" s="1"/>
  <c r="B49" i="1"/>
  <c r="F49" i="1" s="1"/>
  <c r="B50" i="1"/>
  <c r="F50" i="1" s="1"/>
  <c r="B37" i="1"/>
  <c r="F37" i="1" s="1"/>
  <c r="B36" i="1"/>
  <c r="F36" i="1" s="1"/>
  <c r="B35" i="1"/>
  <c r="H35" i="1" l="1"/>
  <c r="G35" i="1"/>
  <c r="H36" i="1"/>
  <c r="G36" i="1"/>
  <c r="H37" i="1"/>
  <c r="G37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50" i="1"/>
  <c r="G50" i="1"/>
  <c r="F15" i="1"/>
  <c r="H15" i="1"/>
  <c r="G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16" i="1"/>
  <c r="B9" i="1"/>
  <c r="B8" i="1"/>
  <c r="B7" i="1"/>
  <c r="B6" i="1"/>
  <c r="B5" i="1"/>
  <c r="B4" i="1"/>
  <c r="B3" i="1"/>
  <c r="H30" i="1" l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G19" i="1"/>
  <c r="H19" i="1"/>
  <c r="H18" i="1"/>
  <c r="G18" i="1"/>
  <c r="H17" i="1"/>
  <c r="G17" i="1"/>
  <c r="H16" i="1"/>
  <c r="G16" i="1"/>
  <c r="H3" i="1"/>
  <c r="J3" i="1"/>
  <c r="I3" i="1"/>
  <c r="H4" i="1"/>
  <c r="J4" i="1"/>
  <c r="I4" i="1"/>
  <c r="H5" i="1"/>
  <c r="J5" i="1"/>
  <c r="I5" i="1"/>
  <c r="H6" i="1"/>
  <c r="J6" i="1"/>
  <c r="I6" i="1"/>
  <c r="H7" i="1"/>
  <c r="J7" i="1"/>
  <c r="I7" i="1"/>
  <c r="H8" i="1"/>
  <c r="J8" i="1"/>
  <c r="I8" i="1"/>
  <c r="H9" i="1"/>
  <c r="J9" i="1"/>
  <c r="I9" i="1"/>
</calcChain>
</file>

<file path=xl/sharedStrings.xml><?xml version="1.0" encoding="utf-8"?>
<sst xmlns="http://schemas.openxmlformats.org/spreadsheetml/2006/main" count="71" uniqueCount="28">
  <si>
    <t>Measure throughput/Obj.-size</t>
  </si>
  <si>
    <t>lambda size (in MB)</t>
  </si>
  <si>
    <t>object size (in byte)</t>
  </si>
  <si>
    <t>size name</t>
  </si>
  <si>
    <t>time (in s)</t>
  </si>
  <si>
    <t>successful requests (measurement 1)</t>
  </si>
  <si>
    <t>successful requests (measurement 2)</t>
  </si>
  <si>
    <t>successful requests (measurement 3)</t>
  </si>
  <si>
    <t>avg. throughput (in byte/s)</t>
  </si>
  <si>
    <t>avg. throughput (in KiB/s)</t>
  </si>
  <si>
    <t>avg. throughput (in MiB/s)2</t>
  </si>
  <si>
    <t>THis is a pessimistic estimate. Files that took longer than the remaining test duration to download will be ignored</t>
  </si>
  <si>
    <t>1 KiB</t>
  </si>
  <si>
    <t>This is why the troughput of big sizes is smaller</t>
  </si>
  <si>
    <t>10 KiB</t>
  </si>
  <si>
    <t>100 KiB</t>
  </si>
  <si>
    <t>1 MiB</t>
  </si>
  <si>
    <t>10 MiB</t>
  </si>
  <si>
    <t>100 MiB</t>
  </si>
  <si>
    <t>1 GiB</t>
  </si>
  <si>
    <t>Measure troughput/Lambda-size</t>
  </si>
  <si>
    <t>Lambda size</t>
  </si>
  <si>
    <t>siez name</t>
  </si>
  <si>
    <t>successful requests</t>
  </si>
  <si>
    <t>trhoughput (in byte)</t>
  </si>
  <si>
    <t>trhoughput (in KiB)</t>
  </si>
  <si>
    <t>trhoughput (in MiB)</t>
  </si>
  <si>
    <t>Could not detect a size were throughput decreases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</si>
</sst>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26"/>
      <color theme="1"/>
      <name val="Calibri"/>
      <family val="2"/>
      <scheme val="minor"/>
    </font>
    <font>
      <b/>
      <sz val="26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Standard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FD229-E724-40EA-BE04-9A2F15729A5C}" name="Tabelle1" displayName="Tabelle1" ref="A2:J9" totalsRowShown="0">
  <autoFilter ref="A2:J9" xr:uid="{90F008C1-15E7-41BC-AE9A-48AE3967E5DD}"/>
  <sortState xmlns:xlrd2="http://schemas.microsoft.com/office/spreadsheetml/2017/richdata2" ref="A3:J9">
    <sortCondition ref="B2:B9"/>
  </sortState>
  <tableColumns count="10">
    <tableColumn id="1" xr3:uid="{8F3DC7F2-AC92-4274-AAB4-A9F3BA30727F}" name="lambda size (in MB)"/>
    <tableColumn id="2" xr3:uid="{573AFE02-2560-4767-973B-EEDB0E6269DC}" name="object size (in byte)"/>
    <tableColumn id="10" xr3:uid="{F5C6EB11-6034-4834-BC01-F23DC23F77C1}" name="size name"/>
    <tableColumn id="3" xr3:uid="{62FDC538-F44E-48E8-BA99-7C65AEADA553}" name="time (in s)"/>
    <tableColumn id="4" xr3:uid="{CC2CB421-8FA1-4098-A430-B62EF501C28F}" name="successful requests (measurement 1)" dataDxfId="7"/>
    <tableColumn id="5" xr3:uid="{7F98D461-2A11-436F-88B2-1D894341DDC1}" name="successful requests (measurement 2)"/>
    <tableColumn id="6" xr3:uid="{5AC52177-98E5-419B-8841-CE8A9C6C4AA6}" name="successful requests (measurement 3)"/>
    <tableColumn id="12" xr3:uid="{AF06E97F-B844-441C-AFB8-2826007CF44B}" name="avg. throughput (in byte/s)" dataDxfId="6">
      <calculatedColumnFormula>B3*((E3+F3+G3) / 3)/30</calculatedColumnFormula>
    </tableColumn>
    <tableColumn id="13" xr3:uid="{758DE3A9-2CEA-46F4-9BAD-C60EF6574F5C}" name="avg. throughput (in KiB/s)" dataDxfId="5">
      <calculatedColumnFormula>B3*(((E3+F3+G3) / 3)/30)/1024</calculatedColumnFormula>
    </tableColumn>
    <tableColumn id="7" xr3:uid="{D1F07A4C-5F5C-4CE8-8033-A904E75E175F}" name="avg. throughput (in MiB/s)2" dataDxfId="4">
      <calculatedColumnFormula>(B3*((E3+F3+G3) / 3)/30)/POWER(1024,2)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5CDC40-3F5C-4199-ADE5-6E3770CDB3AA}" name="Tabelle3" displayName="Tabelle3" ref="A14:H30" totalsRowShown="0" headerRowDxfId="3">
  <autoFilter ref="A14:H30" xr:uid="{AE2D25C6-D415-4AEF-A61C-D23EBAD02EBC}"/>
  <tableColumns count="8">
    <tableColumn id="1" xr3:uid="{715E2DA7-DDCA-44F8-A28C-0F0569DF823E}" name="Lambda size"/>
    <tableColumn id="2" xr3:uid="{63C244B0-77E0-4D28-A6AA-2259FFA98387}" name="object size (in byte)"/>
    <tableColumn id="3" xr3:uid="{CFE4AE3D-434A-4017-8EF4-1E2A5397DF47}" name="siez name"/>
    <tableColumn id="4" xr3:uid="{F400A4DB-D9A2-422C-9C52-0B83BA76E340}" name="time (in s)"/>
    <tableColumn id="5" xr3:uid="{FFCDA247-1B9C-44DD-BC41-87D97C7A1D92}" name="successful requests"/>
    <tableColumn id="6" xr3:uid="{DB6059A7-2F36-45CB-A596-2403D251C058}" name="trhoughput (in byte)">
      <calculatedColumnFormula>B15*E15/D15</calculatedColumnFormula>
    </tableColumn>
    <tableColumn id="7" xr3:uid="{E69038CA-2D9D-455E-9940-96E8A8F6B65D}" name="trhoughput (in KiB)">
      <calculatedColumnFormula>F15/POWER(1024,1)</calculatedColumnFormula>
    </tableColumn>
    <tableColumn id="8" xr3:uid="{7F39EE31-ACAE-4F39-A4DC-3BE1B00A0842}" name="trhoughput (in MiB)" dataDxfId="2">
      <calculatedColumnFormula>F15/POWER(1024,2)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EA4AA-3038-4D39-A2F5-8596687E4AC3}" name="Tabelle2" displayName="Tabelle2" ref="A34:H50" totalsRowShown="0" headerRowDxfId="1">
  <autoFilter ref="A34:H50" xr:uid="{4D7FD29F-7507-468D-97ED-3E46C75F63FD}"/>
  <tableColumns count="8">
    <tableColumn id="1" xr3:uid="{DE075D45-3986-4937-8900-17A4C3505359}" name="Lambda size"/>
    <tableColumn id="2" xr3:uid="{EFEE9C47-E240-4A30-BB15-6C3E43C059F4}" name="object size (in byte)" dataDxfId="0">
      <calculatedColumnFormula>10*POWER(1024,2)</calculatedColumnFormula>
    </tableColumn>
    <tableColumn id="3" xr3:uid="{062C8FFB-38DA-4391-9BA6-75D8458BC1FC}" name="size name"/>
    <tableColumn id="4" xr3:uid="{8065DA13-350F-4EE8-997C-49932DD4ABE8}" name="time (in s)"/>
    <tableColumn id="5" xr3:uid="{89658D35-FBD2-486D-8598-30259D8113D7}" name="successful requests"/>
    <tableColumn id="6" xr3:uid="{D49A69E4-6129-499F-AE3B-6EBBC2C165E2}" name="trhoughput (in byte)">
      <calculatedColumnFormula>#REF!*B35/D35</calculatedColumnFormula>
    </tableColumn>
    <tableColumn id="7" xr3:uid="{E70C5504-D44B-4C35-9212-AA4A2E40C9F6}" name="trhoughput (in KiB)">
      <calculatedColumnFormula>F35/POWER(1024,1)</calculatedColumnFormula>
    </tableColumn>
    <tableColumn id="8" xr3:uid="{B155E5C1-B682-44FC-B18D-45E39DF0A8F5}" name="trhoughput (in MiB)">
      <calculatedColumnFormula>F35/POWER(1024,2)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E10" sqref="E10"/>
    </sheetView>
  </sheetViews>
  <sheetFormatPr defaultRowHeight="15"/>
  <cols>
    <col min="1" max="1" width="14.140625" customWidth="1"/>
    <col min="2" max="2" width="21.140625" customWidth="1"/>
    <col min="3" max="3" width="12.28515625" customWidth="1"/>
    <col min="4" max="4" width="12.42578125" customWidth="1"/>
    <col min="5" max="5" width="20.85546875" customWidth="1"/>
    <col min="6" max="6" width="21.7109375" customWidth="1"/>
    <col min="7" max="7" width="20.5703125" customWidth="1"/>
    <col min="8" max="9" width="21.7109375" customWidth="1"/>
    <col min="10" max="10" width="15.28515625" customWidth="1"/>
  </cols>
  <sheetData>
    <row r="1" spans="1:13" ht="33.75">
      <c r="A1" s="3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M2" t="s">
        <v>11</v>
      </c>
    </row>
    <row r="3" spans="1:13">
      <c r="A3">
        <v>3008</v>
      </c>
      <c r="B3">
        <f>1*POWER(1024,1)</f>
        <v>1024</v>
      </c>
      <c r="C3" t="s">
        <v>12</v>
      </c>
      <c r="D3">
        <v>30</v>
      </c>
      <c r="E3">
        <v>2095</v>
      </c>
      <c r="F3">
        <v>1831</v>
      </c>
      <c r="G3">
        <v>2295</v>
      </c>
      <c r="H3">
        <f t="shared" ref="H3:H9" si="0">B3*((E3+F3+G3) / 3)/30</f>
        <v>70781.155555555553</v>
      </c>
      <c r="I3">
        <f t="shared" ref="I3:I9" si="1">B3*(((E3+F3+G3) / 3)/30)/1024</f>
        <v>69.12222222222222</v>
      </c>
      <c r="J3">
        <f>(B3*((E3+F3+G3) / 3)/30)/POWER(1024,2)</f>
        <v>6.7502170138888887E-2</v>
      </c>
      <c r="M3" t="s">
        <v>13</v>
      </c>
    </row>
    <row r="4" spans="1:13">
      <c r="A4">
        <v>3008</v>
      </c>
      <c r="B4">
        <f>10*POWER(1024,1)</f>
        <v>10240</v>
      </c>
      <c r="C4" t="s">
        <v>14</v>
      </c>
      <c r="D4">
        <v>30</v>
      </c>
      <c r="E4">
        <v>2168</v>
      </c>
      <c r="F4">
        <v>2194</v>
      </c>
      <c r="G4">
        <v>2247</v>
      </c>
      <c r="H4">
        <f t="shared" si="0"/>
        <v>751957.33333333337</v>
      </c>
      <c r="I4">
        <f t="shared" si="1"/>
        <v>734.33333333333337</v>
      </c>
      <c r="J4">
        <f t="shared" ref="J4:J9" si="2">(B4*((E4+F4+G4) / 3)/30)/POWER(1024,2)</f>
        <v>0.71712239583333337</v>
      </c>
    </row>
    <row r="5" spans="1:13">
      <c r="A5">
        <v>3008</v>
      </c>
      <c r="B5">
        <f>100*POWER(1024,1)</f>
        <v>102400</v>
      </c>
      <c r="C5" t="s">
        <v>15</v>
      </c>
      <c r="D5">
        <v>30</v>
      </c>
      <c r="E5">
        <v>1801</v>
      </c>
      <c r="F5">
        <v>2142</v>
      </c>
      <c r="G5">
        <v>2031</v>
      </c>
      <c r="H5">
        <f t="shared" si="0"/>
        <v>6797084.444444444</v>
      </c>
      <c r="I5">
        <f t="shared" si="1"/>
        <v>6637.7777777777783</v>
      </c>
      <c r="J5">
        <f t="shared" si="2"/>
        <v>6.4822048611111107</v>
      </c>
    </row>
    <row r="6" spans="1:13">
      <c r="A6">
        <v>3008</v>
      </c>
      <c r="B6">
        <f>1*POWER(1024,2)</f>
        <v>1048576</v>
      </c>
      <c r="C6" t="s">
        <v>16</v>
      </c>
      <c r="D6">
        <v>30</v>
      </c>
      <c r="E6">
        <v>1283</v>
      </c>
      <c r="F6">
        <v>904</v>
      </c>
      <c r="G6">
        <v>1274</v>
      </c>
      <c r="H6">
        <f t="shared" si="0"/>
        <v>40323572.622222222</v>
      </c>
      <c r="I6">
        <f t="shared" si="1"/>
        <v>39378.488888888889</v>
      </c>
      <c r="J6">
        <f t="shared" si="2"/>
        <v>38.455555555555556</v>
      </c>
    </row>
    <row r="7" spans="1:13">
      <c r="A7">
        <v>3008</v>
      </c>
      <c r="B7">
        <f>10*POWER(1024,2)</f>
        <v>10485760</v>
      </c>
      <c r="C7" t="s">
        <v>17</v>
      </c>
      <c r="D7">
        <v>30</v>
      </c>
      <c r="E7">
        <v>231</v>
      </c>
      <c r="F7">
        <v>229</v>
      </c>
      <c r="G7">
        <v>222</v>
      </c>
      <c r="H7">
        <f t="shared" si="0"/>
        <v>79458759.111111119</v>
      </c>
      <c r="I7">
        <f t="shared" si="1"/>
        <v>77596.444444444453</v>
      </c>
      <c r="J7">
        <f t="shared" si="2"/>
        <v>75.777777777777786</v>
      </c>
    </row>
    <row r="8" spans="1:13">
      <c r="A8">
        <v>3008</v>
      </c>
      <c r="B8">
        <f>100*POWER(1024,2)</f>
        <v>104857600</v>
      </c>
      <c r="C8" t="s">
        <v>18</v>
      </c>
      <c r="D8">
        <v>30</v>
      </c>
      <c r="E8">
        <v>22</v>
      </c>
      <c r="F8">
        <v>22</v>
      </c>
      <c r="G8">
        <v>22</v>
      </c>
      <c r="H8">
        <f t="shared" si="0"/>
        <v>76895573.333333328</v>
      </c>
      <c r="I8">
        <f t="shared" si="1"/>
        <v>75093.333333333328</v>
      </c>
      <c r="J8">
        <f t="shared" si="2"/>
        <v>73.333333333333329</v>
      </c>
    </row>
    <row r="9" spans="1:13">
      <c r="A9">
        <v>3008</v>
      </c>
      <c r="B9">
        <f>1*POWER(1024,3)</f>
        <v>1073741824</v>
      </c>
      <c r="C9" t="s">
        <v>19</v>
      </c>
      <c r="D9">
        <v>30</v>
      </c>
      <c r="E9">
        <v>2</v>
      </c>
      <c r="F9">
        <v>2</v>
      </c>
      <c r="G9">
        <v>2</v>
      </c>
      <c r="H9">
        <f t="shared" si="0"/>
        <v>71582788.266666666</v>
      </c>
      <c r="I9">
        <f t="shared" si="1"/>
        <v>69905.066666666666</v>
      </c>
      <c r="J9">
        <f t="shared" si="2"/>
        <v>68.266666666666666</v>
      </c>
    </row>
    <row r="13" spans="1:13" ht="33.75">
      <c r="A13" s="4" t="s">
        <v>20</v>
      </c>
    </row>
    <row r="14" spans="1:13" s="5" customFormat="1">
      <c r="A14" s="1" t="s">
        <v>21</v>
      </c>
      <c r="B14" s="5" t="s">
        <v>2</v>
      </c>
      <c r="C14" s="5" t="s">
        <v>22</v>
      </c>
      <c r="D14" s="5" t="s">
        <v>4</v>
      </c>
      <c r="E14" s="5" t="s">
        <v>23</v>
      </c>
      <c r="F14" s="5" t="s">
        <v>24</v>
      </c>
      <c r="G14" s="1" t="s">
        <v>25</v>
      </c>
      <c r="H14" s="1" t="s">
        <v>26</v>
      </c>
      <c r="M14" s="5" t="s">
        <v>27</v>
      </c>
    </row>
    <row r="15" spans="1:13">
      <c r="A15">
        <v>2994</v>
      </c>
      <c r="B15">
        <v>1024</v>
      </c>
      <c r="C15" t="s">
        <v>12</v>
      </c>
      <c r="D15">
        <v>30</v>
      </c>
      <c r="E15">
        <v>2128</v>
      </c>
      <c r="F15">
        <f>B15*E15/D15</f>
        <v>72635.733333333337</v>
      </c>
      <c r="G15">
        <f>F15/POWER(1024,1)</f>
        <v>70.933333333333337</v>
      </c>
      <c r="H15" s="2">
        <f>F15/POWER(1024,2)</f>
        <v>6.9270833333333337E-2</v>
      </c>
    </row>
    <row r="16" spans="1:13">
      <c r="A16">
        <v>2880</v>
      </c>
      <c r="B16">
        <v>1024</v>
      </c>
      <c r="C16" t="s">
        <v>12</v>
      </c>
      <c r="D16">
        <v>30</v>
      </c>
      <c r="E16">
        <v>1840</v>
      </c>
      <c r="F16">
        <f>B16*E16/D16</f>
        <v>62805.333333333336</v>
      </c>
      <c r="G16">
        <f t="shared" ref="G16:G30" si="3">F16/POWER(1024,1)</f>
        <v>61.333333333333336</v>
      </c>
      <c r="H16" s="2">
        <f t="shared" ref="H16:H30" si="4">F16/POWER(1024,2)</f>
        <v>5.9895833333333336E-2</v>
      </c>
    </row>
    <row r="17" spans="1:8">
      <c r="A17">
        <v>2816</v>
      </c>
      <c r="B17">
        <v>1024</v>
      </c>
      <c r="C17" t="s">
        <v>12</v>
      </c>
      <c r="D17">
        <v>30</v>
      </c>
      <c r="E17">
        <v>1807</v>
      </c>
      <c r="F17">
        <f t="shared" ref="F17:F31" si="5">B17*E17/D17</f>
        <v>61678.933333333334</v>
      </c>
      <c r="G17">
        <f t="shared" si="3"/>
        <v>60.233333333333334</v>
      </c>
      <c r="H17" s="2">
        <f t="shared" si="4"/>
        <v>5.8821614583333334E-2</v>
      </c>
    </row>
    <row r="18" spans="1:8">
      <c r="A18">
        <v>2752</v>
      </c>
      <c r="B18">
        <v>1024</v>
      </c>
      <c r="C18" t="s">
        <v>12</v>
      </c>
      <c r="D18">
        <v>30</v>
      </c>
      <c r="E18">
        <v>2194</v>
      </c>
      <c r="F18">
        <f t="shared" si="5"/>
        <v>74888.53333333334</v>
      </c>
      <c r="G18">
        <f t="shared" si="3"/>
        <v>73.13333333333334</v>
      </c>
      <c r="H18" s="2">
        <f t="shared" si="4"/>
        <v>7.141927083333334E-2</v>
      </c>
    </row>
    <row r="19" spans="1:8">
      <c r="A19">
        <v>2688</v>
      </c>
      <c r="B19">
        <v>1024</v>
      </c>
      <c r="C19" t="s">
        <v>12</v>
      </c>
      <c r="D19">
        <v>30</v>
      </c>
      <c r="E19">
        <v>1860</v>
      </c>
      <c r="F19">
        <f t="shared" si="5"/>
        <v>63488</v>
      </c>
      <c r="G19">
        <f>F19/POWER(1024,1)</f>
        <v>62</v>
      </c>
      <c r="H19" s="2">
        <f t="shared" si="4"/>
        <v>6.0546875E-2</v>
      </c>
    </row>
    <row r="20" spans="1:8">
      <c r="A20">
        <v>2624</v>
      </c>
      <c r="B20">
        <v>1024</v>
      </c>
      <c r="C20" t="s">
        <v>12</v>
      </c>
      <c r="D20">
        <v>30</v>
      </c>
      <c r="E20">
        <v>2007</v>
      </c>
      <c r="F20">
        <f t="shared" si="5"/>
        <v>68505.600000000006</v>
      </c>
      <c r="G20">
        <f t="shared" si="3"/>
        <v>66.900000000000006</v>
      </c>
      <c r="H20" s="2">
        <f t="shared" si="4"/>
        <v>6.5332031250000006E-2</v>
      </c>
    </row>
    <row r="21" spans="1:8">
      <c r="A21">
        <v>2560</v>
      </c>
      <c r="B21">
        <v>1024</v>
      </c>
      <c r="C21" t="s">
        <v>12</v>
      </c>
      <c r="D21">
        <v>30</v>
      </c>
      <c r="E21">
        <v>2056</v>
      </c>
      <c r="F21">
        <f t="shared" si="5"/>
        <v>70178.133333333331</v>
      </c>
      <c r="G21">
        <f t="shared" si="3"/>
        <v>68.533333333333331</v>
      </c>
      <c r="H21" s="2">
        <f>F21/POWER(1024,2)</f>
        <v>6.6927083333333331E-2</v>
      </c>
    </row>
    <row r="22" spans="1:8">
      <c r="A22">
        <v>2496</v>
      </c>
      <c r="B22">
        <v>1024</v>
      </c>
      <c r="C22" t="s">
        <v>12</v>
      </c>
      <c r="D22">
        <v>30</v>
      </c>
      <c r="E22">
        <v>2023</v>
      </c>
      <c r="F22">
        <f t="shared" si="5"/>
        <v>69051.733333333337</v>
      </c>
      <c r="G22">
        <f t="shared" si="3"/>
        <v>67.433333333333337</v>
      </c>
      <c r="H22" s="2">
        <f t="shared" si="4"/>
        <v>6.5852864583333337E-2</v>
      </c>
    </row>
    <row r="23" spans="1:8">
      <c r="A23">
        <v>2423</v>
      </c>
      <c r="B23">
        <v>1024</v>
      </c>
      <c r="C23" t="s">
        <v>12</v>
      </c>
      <c r="D23">
        <v>30</v>
      </c>
      <c r="E23">
        <v>1779</v>
      </c>
      <c r="F23">
        <f t="shared" si="5"/>
        <v>60723.199999999997</v>
      </c>
      <c r="G23">
        <f t="shared" si="3"/>
        <v>59.3</v>
      </c>
      <c r="H23" s="2">
        <f t="shared" si="4"/>
        <v>5.7910156249999997E-2</v>
      </c>
    </row>
    <row r="24" spans="1:8">
      <c r="A24">
        <v>2368</v>
      </c>
      <c r="B24">
        <v>1024</v>
      </c>
      <c r="C24" t="s">
        <v>12</v>
      </c>
      <c r="D24">
        <v>30</v>
      </c>
      <c r="E24">
        <v>1952</v>
      </c>
      <c r="F24">
        <f t="shared" si="5"/>
        <v>66628.266666666663</v>
      </c>
      <c r="G24">
        <f t="shared" si="3"/>
        <v>65.066666666666663</v>
      </c>
      <c r="H24" s="2">
        <f t="shared" si="4"/>
        <v>6.3541666666666663E-2</v>
      </c>
    </row>
    <row r="25" spans="1:8">
      <c r="A25">
        <v>2304</v>
      </c>
      <c r="B25">
        <v>1024</v>
      </c>
      <c r="C25" t="s">
        <v>12</v>
      </c>
      <c r="D25">
        <v>30</v>
      </c>
      <c r="E25">
        <v>2012</v>
      </c>
      <c r="F25">
        <f t="shared" si="5"/>
        <v>68676.266666666663</v>
      </c>
      <c r="G25">
        <f t="shared" si="3"/>
        <v>67.066666666666663</v>
      </c>
      <c r="H25" s="2">
        <f t="shared" si="4"/>
        <v>6.5494791666666663E-2</v>
      </c>
    </row>
    <row r="26" spans="1:8">
      <c r="A26">
        <v>2240</v>
      </c>
      <c r="B26">
        <v>1024</v>
      </c>
      <c r="C26" t="s">
        <v>12</v>
      </c>
      <c r="D26">
        <v>30</v>
      </c>
      <c r="E26">
        <v>2170</v>
      </c>
      <c r="F26">
        <f t="shared" si="5"/>
        <v>74069.333333333328</v>
      </c>
      <c r="G26">
        <f t="shared" si="3"/>
        <v>72.333333333333329</v>
      </c>
      <c r="H26" s="2">
        <f t="shared" si="4"/>
        <v>7.0638020833333329E-2</v>
      </c>
    </row>
    <row r="27" spans="1:8">
      <c r="A27">
        <v>2176</v>
      </c>
      <c r="B27">
        <v>1024</v>
      </c>
      <c r="C27" t="s">
        <v>12</v>
      </c>
      <c r="D27">
        <v>30</v>
      </c>
      <c r="E27">
        <v>1967</v>
      </c>
      <c r="F27">
        <f t="shared" si="5"/>
        <v>67140.266666666663</v>
      </c>
      <c r="G27">
        <f t="shared" si="3"/>
        <v>65.566666666666663</v>
      </c>
      <c r="H27" s="2">
        <f t="shared" si="4"/>
        <v>6.4029947916666663E-2</v>
      </c>
    </row>
    <row r="28" spans="1:8">
      <c r="A28">
        <v>2112</v>
      </c>
      <c r="B28">
        <v>1024</v>
      </c>
      <c r="C28" t="s">
        <v>12</v>
      </c>
      <c r="D28">
        <v>30</v>
      </c>
      <c r="E28">
        <v>1715</v>
      </c>
      <c r="F28">
        <f t="shared" si="5"/>
        <v>58538.666666666664</v>
      </c>
      <c r="G28">
        <f t="shared" si="3"/>
        <v>57.166666666666664</v>
      </c>
      <c r="H28" s="2">
        <f t="shared" si="4"/>
        <v>5.5826822916666664E-2</v>
      </c>
    </row>
    <row r="29" spans="1:8">
      <c r="A29">
        <v>2048</v>
      </c>
      <c r="B29">
        <v>1024</v>
      </c>
      <c r="C29" t="s">
        <v>12</v>
      </c>
      <c r="D29">
        <v>30</v>
      </c>
      <c r="E29">
        <v>2442</v>
      </c>
      <c r="F29">
        <f t="shared" si="5"/>
        <v>83353.600000000006</v>
      </c>
      <c r="G29">
        <f t="shared" si="3"/>
        <v>81.400000000000006</v>
      </c>
      <c r="H29" s="2">
        <f t="shared" si="4"/>
        <v>7.9492187500000006E-2</v>
      </c>
    </row>
    <row r="30" spans="1:8">
      <c r="A30">
        <v>1984</v>
      </c>
      <c r="B30">
        <v>1024</v>
      </c>
      <c r="C30" t="s">
        <v>12</v>
      </c>
      <c r="D30">
        <v>30</v>
      </c>
      <c r="E30">
        <v>1912</v>
      </c>
      <c r="F30">
        <f t="shared" si="5"/>
        <v>65262.933333333334</v>
      </c>
      <c r="G30">
        <f t="shared" si="3"/>
        <v>63.733333333333334</v>
      </c>
      <c r="H30" s="2">
        <f t="shared" si="4"/>
        <v>6.2239583333333334E-2</v>
      </c>
    </row>
    <row r="33" spans="1:8" ht="33.75">
      <c r="A33" s="4" t="s">
        <v>20</v>
      </c>
    </row>
    <row r="34" spans="1:8" s="5" customFormat="1">
      <c r="A34" s="1" t="s">
        <v>21</v>
      </c>
      <c r="B34" s="5" t="s">
        <v>2</v>
      </c>
      <c r="C34" s="5" t="s">
        <v>3</v>
      </c>
      <c r="D34" s="5" t="s">
        <v>4</v>
      </c>
      <c r="E34" s="5" t="s">
        <v>23</v>
      </c>
      <c r="F34" s="5" t="s">
        <v>24</v>
      </c>
      <c r="G34" s="1" t="s">
        <v>25</v>
      </c>
      <c r="H34" s="1" t="s">
        <v>26</v>
      </c>
    </row>
    <row r="35" spans="1:8">
      <c r="A35">
        <v>2994</v>
      </c>
      <c r="B35">
        <f>10*POWER(1024,2)</f>
        <v>10485760</v>
      </c>
      <c r="C35" t="s">
        <v>17</v>
      </c>
      <c r="D35">
        <v>30</v>
      </c>
      <c r="E35">
        <v>230</v>
      </c>
      <c r="F35">
        <f>B35/D35</f>
        <v>349525.33333333331</v>
      </c>
      <c r="G35">
        <f>F35/POWER(1024,1)</f>
        <v>341.33333333333331</v>
      </c>
      <c r="H35">
        <f>F35/POWER(1024,2)</f>
        <v>0.33333333333333331</v>
      </c>
    </row>
    <row r="36" spans="1:8">
      <c r="A36">
        <v>2880</v>
      </c>
      <c r="B36" s="2">
        <f>10*POWER(1024,2)</f>
        <v>10485760</v>
      </c>
      <c r="C36" t="s">
        <v>17</v>
      </c>
      <c r="D36">
        <v>30</v>
      </c>
      <c r="E36">
        <v>173</v>
      </c>
      <c r="F36">
        <f t="shared" ref="F36:F49" si="6">E36*B36/D36</f>
        <v>60467882.666666664</v>
      </c>
      <c r="G36">
        <f t="shared" ref="G36:G50" si="7">F36/POWER(1024,1)</f>
        <v>59050.666666666664</v>
      </c>
      <c r="H36">
        <f t="shared" ref="H36:H50" si="8">F36/POWER(1024,2)</f>
        <v>57.666666666666664</v>
      </c>
    </row>
    <row r="37" spans="1:8">
      <c r="A37">
        <v>2816</v>
      </c>
      <c r="B37" s="2">
        <f>10*POWER(1024,2)</f>
        <v>10485760</v>
      </c>
      <c r="C37" t="s">
        <v>17</v>
      </c>
      <c r="D37">
        <v>30</v>
      </c>
      <c r="E37">
        <v>231</v>
      </c>
      <c r="F37">
        <f t="shared" si="6"/>
        <v>80740352</v>
      </c>
      <c r="G37">
        <f t="shared" si="7"/>
        <v>78848</v>
      </c>
      <c r="H37">
        <f t="shared" si="8"/>
        <v>77</v>
      </c>
    </row>
    <row r="38" spans="1:8">
      <c r="A38">
        <v>2752</v>
      </c>
      <c r="B38">
        <f t="shared" ref="B38:B50" si="9">10*POWER(1024,2)</f>
        <v>10485760</v>
      </c>
      <c r="C38" t="s">
        <v>17</v>
      </c>
      <c r="D38">
        <v>30</v>
      </c>
      <c r="E38">
        <v>228</v>
      </c>
      <c r="F38">
        <f t="shared" si="6"/>
        <v>79691776</v>
      </c>
      <c r="G38">
        <f t="shared" si="7"/>
        <v>77824</v>
      </c>
      <c r="H38">
        <f t="shared" si="8"/>
        <v>76</v>
      </c>
    </row>
    <row r="39" spans="1:8">
      <c r="A39">
        <v>2688</v>
      </c>
      <c r="B39" s="2">
        <f t="shared" si="9"/>
        <v>10485760</v>
      </c>
      <c r="C39" t="s">
        <v>17</v>
      </c>
      <c r="D39">
        <v>30</v>
      </c>
      <c r="E39">
        <v>229</v>
      </c>
      <c r="F39">
        <f t="shared" si="6"/>
        <v>80041301.333333328</v>
      </c>
      <c r="G39">
        <f t="shared" si="7"/>
        <v>78165.333333333328</v>
      </c>
      <c r="H39">
        <f t="shared" si="8"/>
        <v>76.333333333333329</v>
      </c>
    </row>
    <row r="40" spans="1:8">
      <c r="A40">
        <v>2624</v>
      </c>
      <c r="B40" s="2">
        <f t="shared" si="9"/>
        <v>10485760</v>
      </c>
      <c r="C40" t="s">
        <v>17</v>
      </c>
      <c r="D40">
        <v>30</v>
      </c>
      <c r="E40">
        <v>233</v>
      </c>
      <c r="F40">
        <f t="shared" si="6"/>
        <v>81439402.666666672</v>
      </c>
      <c r="G40">
        <f t="shared" si="7"/>
        <v>79530.666666666672</v>
      </c>
      <c r="H40">
        <f t="shared" si="8"/>
        <v>77.666666666666671</v>
      </c>
    </row>
    <row r="41" spans="1:8">
      <c r="A41">
        <v>2560</v>
      </c>
      <c r="B41">
        <f t="shared" si="9"/>
        <v>10485760</v>
      </c>
      <c r="C41" t="s">
        <v>17</v>
      </c>
      <c r="D41">
        <v>30</v>
      </c>
      <c r="E41">
        <v>232</v>
      </c>
      <c r="F41">
        <f t="shared" si="6"/>
        <v>81089877.333333328</v>
      </c>
      <c r="G41">
        <f t="shared" si="7"/>
        <v>79189.333333333328</v>
      </c>
      <c r="H41">
        <f t="shared" si="8"/>
        <v>77.333333333333329</v>
      </c>
    </row>
    <row r="42" spans="1:8">
      <c r="A42">
        <v>2496</v>
      </c>
      <c r="B42" s="2">
        <f t="shared" si="9"/>
        <v>10485760</v>
      </c>
      <c r="C42" t="s">
        <v>17</v>
      </c>
      <c r="D42">
        <v>30</v>
      </c>
      <c r="E42">
        <v>231</v>
      </c>
      <c r="F42">
        <f t="shared" si="6"/>
        <v>80740352</v>
      </c>
      <c r="G42">
        <f t="shared" si="7"/>
        <v>78848</v>
      </c>
      <c r="H42">
        <f t="shared" si="8"/>
        <v>77</v>
      </c>
    </row>
    <row r="43" spans="1:8">
      <c r="A43">
        <v>2423</v>
      </c>
      <c r="B43" s="2">
        <f t="shared" si="9"/>
        <v>10485760</v>
      </c>
      <c r="C43" t="s">
        <v>17</v>
      </c>
      <c r="D43">
        <v>30</v>
      </c>
      <c r="E43">
        <v>98</v>
      </c>
      <c r="F43">
        <f t="shared" si="6"/>
        <v>34253482.666666664</v>
      </c>
      <c r="G43">
        <f t="shared" si="7"/>
        <v>33450.666666666664</v>
      </c>
      <c r="H43">
        <f t="shared" si="8"/>
        <v>32.666666666666664</v>
      </c>
    </row>
    <row r="44" spans="1:8">
      <c r="A44">
        <v>2368</v>
      </c>
      <c r="B44">
        <f t="shared" si="9"/>
        <v>10485760</v>
      </c>
      <c r="C44" t="s">
        <v>17</v>
      </c>
      <c r="D44">
        <v>30</v>
      </c>
      <c r="E44">
        <v>233</v>
      </c>
      <c r="F44">
        <f t="shared" si="6"/>
        <v>81439402.666666672</v>
      </c>
      <c r="G44">
        <f t="shared" si="7"/>
        <v>79530.666666666672</v>
      </c>
      <c r="H44">
        <f t="shared" si="8"/>
        <v>77.666666666666671</v>
      </c>
    </row>
    <row r="45" spans="1:8">
      <c r="A45">
        <v>2304</v>
      </c>
      <c r="B45" s="2">
        <f t="shared" si="9"/>
        <v>10485760</v>
      </c>
      <c r="C45" t="s">
        <v>17</v>
      </c>
      <c r="D45">
        <v>30</v>
      </c>
      <c r="E45">
        <v>233</v>
      </c>
      <c r="F45">
        <f t="shared" si="6"/>
        <v>81439402.666666672</v>
      </c>
      <c r="G45">
        <f t="shared" si="7"/>
        <v>79530.666666666672</v>
      </c>
      <c r="H45">
        <f t="shared" si="8"/>
        <v>77.666666666666671</v>
      </c>
    </row>
    <row r="46" spans="1:8">
      <c r="A46">
        <v>2240</v>
      </c>
      <c r="B46" s="2">
        <f t="shared" si="9"/>
        <v>10485760</v>
      </c>
      <c r="C46" t="s">
        <v>17</v>
      </c>
      <c r="D46">
        <v>30</v>
      </c>
      <c r="E46">
        <v>230</v>
      </c>
      <c r="F46">
        <f t="shared" si="6"/>
        <v>80390826.666666672</v>
      </c>
      <c r="G46">
        <f t="shared" si="7"/>
        <v>78506.666666666672</v>
      </c>
      <c r="H46">
        <f t="shared" si="8"/>
        <v>76.666666666666671</v>
      </c>
    </row>
    <row r="47" spans="1:8">
      <c r="A47">
        <v>2176</v>
      </c>
      <c r="B47">
        <f t="shared" si="9"/>
        <v>10485760</v>
      </c>
      <c r="C47" t="s">
        <v>17</v>
      </c>
      <c r="D47">
        <v>30</v>
      </c>
      <c r="E47">
        <v>221</v>
      </c>
      <c r="F47">
        <f t="shared" si="6"/>
        <v>77245098.666666672</v>
      </c>
      <c r="G47">
        <f t="shared" si="7"/>
        <v>75434.666666666672</v>
      </c>
      <c r="H47">
        <f t="shared" si="8"/>
        <v>73.666666666666671</v>
      </c>
    </row>
    <row r="48" spans="1:8">
      <c r="A48">
        <v>2112</v>
      </c>
      <c r="B48" s="2">
        <f t="shared" si="9"/>
        <v>10485760</v>
      </c>
      <c r="C48" t="s">
        <v>17</v>
      </c>
      <c r="D48">
        <v>30</v>
      </c>
      <c r="E48">
        <v>230</v>
      </c>
      <c r="F48">
        <f t="shared" si="6"/>
        <v>80390826.666666672</v>
      </c>
      <c r="G48">
        <f t="shared" si="7"/>
        <v>78506.666666666672</v>
      </c>
      <c r="H48">
        <f t="shared" si="8"/>
        <v>76.666666666666671</v>
      </c>
    </row>
    <row r="49" spans="1:8">
      <c r="A49">
        <v>2048</v>
      </c>
      <c r="B49" s="2">
        <f t="shared" si="9"/>
        <v>10485760</v>
      </c>
      <c r="C49" t="s">
        <v>17</v>
      </c>
      <c r="D49">
        <v>30</v>
      </c>
      <c r="E49">
        <v>234</v>
      </c>
      <c r="F49">
        <f t="shared" si="6"/>
        <v>81788928</v>
      </c>
      <c r="G49">
        <f t="shared" si="7"/>
        <v>79872</v>
      </c>
      <c r="H49">
        <f t="shared" si="8"/>
        <v>78</v>
      </c>
    </row>
    <row r="50" spans="1:8">
      <c r="A50">
        <v>1984</v>
      </c>
      <c r="B50">
        <f t="shared" si="9"/>
        <v>10485760</v>
      </c>
      <c r="C50" t="s">
        <v>17</v>
      </c>
      <c r="D50">
        <v>30</v>
      </c>
      <c r="E50">
        <v>231</v>
      </c>
      <c r="F50">
        <f>E35*B50/D50</f>
        <v>80390826.666666672</v>
      </c>
      <c r="G50">
        <f t="shared" si="7"/>
        <v>78506.666666666672</v>
      </c>
      <c r="H50">
        <f t="shared" si="8"/>
        <v>76.666666666666671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856D-ABB5-4F1D-AC5F-32A0C1869AC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2019-11-20T15:33:25Z</dcterms:created>
  <dcterms:modified xsi:type="dcterms:W3CDTF">2019-11-21T12:55:26Z</dcterms:modified>
  <cp:category/>
  <cp:contentStatus/>
</cp:coreProperties>
</file>